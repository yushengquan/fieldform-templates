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PLUMBING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/ Call-Out Fee</t>
        </is>
      </c>
      <c r="C17" s="10" t="n">
        <v>1</v>
      </c>
      <c r="D17" s="9" t="inlineStr">
        <is>
          <t>each</t>
        </is>
      </c>
      <c r="E17" s="11" t="n">
        <v>75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Labor</t>
        </is>
      </c>
      <c r="C18" s="10" t="n">
        <v>2</v>
      </c>
      <c r="D18" s="9" t="inlineStr">
        <is>
          <t>hr</t>
        </is>
      </c>
      <c r="E18" s="11" t="n">
        <v>95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Materials / Parts</t>
        </is>
      </c>
      <c r="C19" s="10" t="n">
        <v>1</v>
      </c>
      <c r="D19" s="9" t="inlineStr">
        <is>
          <t>job</t>
        </is>
      </c>
      <c r="E19" s="11" t="n">
        <v>120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Warranty (30-day parts &amp; labor)</t>
        </is>
      </c>
      <c r="C20" s="10" t="n">
        <v>1</v>
      </c>
      <c r="D20" s="9" t="inlineStr">
        <is>
          <t>each</t>
        </is>
      </c>
      <c r="E20" s="11" t="n">
        <v>0</v>
      </c>
      <c r="F20" s="11">
        <f>C20*E20</f>
        <v/>
      </c>
      <c r="G20" s="9" t="b">
        <v>0</v>
      </c>
    </row>
    <row r="22">
      <c r="D22" s="3" t="inlineStr">
        <is>
          <t>SUBTOTAL</t>
        </is>
      </c>
      <c r="F22" s="12">
        <f>SUM(F17:F20)</f>
        <v/>
      </c>
    </row>
    <row r="23">
      <c r="B23" s="13" t="inlineStr">
        <is>
          <t>look up your state rate</t>
        </is>
      </c>
      <c r="D23" s="3" t="inlineStr">
        <is>
          <t>TAX RATE</t>
        </is>
      </c>
      <c r="E23" s="14" t="n"/>
    </row>
    <row r="24">
      <c r="D24" s="3" t="inlineStr">
        <is>
          <t>TAX</t>
        </is>
      </c>
      <c r="F24" s="11">
        <f>IF(E23="","",ROUND(SUMPRODUCT(($G$17:$G$20=TRUE)*F17:F20)*E23,2))</f>
        <v/>
      </c>
    </row>
    <row r="25">
      <c r="D25" s="15" t="inlineStr">
        <is>
          <t>TOTAL DUE</t>
        </is>
      </c>
      <c r="F25" s="16">
        <f>F22+IF(ISNUMBER(F24),F24,0)</f>
        <v/>
      </c>
    </row>
    <row r="26">
      <c r="B26" s="13" t="inlineStr">
        <is>
          <t>enter if collected</t>
        </is>
      </c>
      <c r="D26" s="3" t="inlineStr">
        <is>
          <t>DEPOSIT RECEIVED</t>
        </is>
      </c>
      <c r="F26" s="11" t="n"/>
    </row>
    <row r="27">
      <c r="B27" s="13" t="inlineStr">
        <is>
          <t>enter if any</t>
        </is>
      </c>
      <c r="D27" s="3" t="inlineStr">
        <is>
          <t>AMOUNT PAID</t>
        </is>
      </c>
      <c r="F27" s="11" t="n"/>
    </row>
    <row r="28">
      <c r="D28" s="15" t="inlineStr">
        <is>
          <t>BALANCE DUE</t>
        </is>
      </c>
      <c r="F28" s="16">
        <f>F25-IF(ISNUMBER(F26),F26,0)-IF(ISNUMBER(F27),F27,0)</f>
        <v/>
      </c>
    </row>
    <row r="30" ht="30" customHeight="1">
      <c r="A30" s="3" t="inlineStr">
        <is>
          <t>PAYMENT TERMS:</t>
        </is>
      </c>
      <c r="B30" s="4" t="inlineStr">
        <is>
          <t>Net 14 — payment due within 14 days. Late fee of 1.5% per month applies after the due date.</t>
        </is>
      </c>
    </row>
    <row r="31">
      <c r="A31" s="3" t="inlineStr">
        <is>
          <t>NOTES:</t>
        </is>
      </c>
      <c r="B31" s="4" t="inlineStr">
        <is>
          <t>Thank you for your business.</t>
        </is>
      </c>
    </row>
    <row r="32">
      <c r="A32" s="3" t="inlineStr">
        <is>
          <t>PAYMENT:</t>
        </is>
      </c>
      <c r="B32" s="4" t="inlineStr">
        <is>
          <t>Make checks payable to: ______</t>
        </is>
      </c>
    </row>
    <row r="33">
      <c r="B33" s="4" t="inlineStr">
        <is>
          <t>Card / Venmo / Zelle: ______</t>
        </is>
      </c>
    </row>
    <row r="34">
      <c r="B34" s="4" t="inlineStr">
        <is>
          <t>Pay online: ______</t>
        </is>
      </c>
    </row>
    <row r="36">
      <c r="A36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2026-10-18T06:36:57Z</dcterms:created>
  <dcterms:modified xmlns:dcterms="http://purl.org/dc/terms/" xmlns:xsi="http://www.w3.org/2001/XMLSchema-instance" xsi:type="dcterms:W3CDTF">2026-10-18T06:36:57Z</dcterms:modified>
</cp:coreProperties>
</file>