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SEALCOATING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30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Sealcoat — 2 Coats, Coal Tar or Asphalt Emulsion (per sq ft)</t>
        </is>
      </c>
      <c r="C17" s="10" t="n">
        <v>900</v>
      </c>
      <c r="D17" s="9" t="inlineStr">
        <is>
          <t>sq ft</t>
        </is>
      </c>
      <c r="E17" s="11" t="n">
        <v>0.22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Hot-Rubberized Crack Filling (per linear ft)</t>
        </is>
      </c>
      <c r="C18" s="10" t="n">
        <v>60</v>
      </c>
      <c r="D18" s="9" t="inlineStr">
        <is>
          <t>lf</t>
        </is>
      </c>
      <c r="E18" s="11" t="n">
        <v>1.25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Cold-Patch Asphalt Repair — Potholes (per sq ft)</t>
        </is>
      </c>
      <c r="C19" s="10" t="n">
        <v>24</v>
      </c>
      <c r="D19" s="9" t="inlineStr">
        <is>
          <t>sq ft</t>
        </is>
      </c>
      <c r="E19" s="11" t="n">
        <v>4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Oil Spot Primer &amp; Burn Treatment (per spot)</t>
        </is>
      </c>
      <c r="C20" s="10" t="n">
        <v>3</v>
      </c>
      <c r="D20" s="9" t="inlineStr">
        <is>
          <t>each</t>
        </is>
      </c>
      <c r="E20" s="11" t="n">
        <v>18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Line Striping &amp; Stencil Work (per linear ft)</t>
        </is>
      </c>
      <c r="C21" s="10" t="n">
        <v>120</v>
      </c>
      <c r="D21" s="9" t="inlineStr">
        <is>
          <t>lf</t>
        </is>
      </c>
      <c r="E21" s="11" t="n">
        <v>0.35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Power Edging &amp; Weed Trimming — Perimeter Prep (per linear ft)</t>
        </is>
      </c>
      <c r="C22" s="10" t="n">
        <v>100</v>
      </c>
      <c r="D22" s="9" t="inlineStr">
        <is>
          <t>lf</t>
        </is>
      </c>
      <c r="E22" s="11" t="n">
        <v>0.15</v>
      </c>
      <c r="F22" s="11">
        <f>C22*E22</f>
        <v/>
      </c>
      <c r="G22" s="9" t="b">
        <v>1</v>
      </c>
    </row>
    <row r="23" ht="18" customHeight="1">
      <c r="A23" s="9" t="n">
        <v>7</v>
      </c>
      <c r="B23" s="4" t="inlineStr">
        <is>
          <t>Surface Cleaning &amp; Blowing — Prep Before Coating</t>
        </is>
      </c>
      <c r="C23" s="10" t="n">
        <v>1</v>
      </c>
      <c r="D23" s="9" t="inlineStr">
        <is>
          <t>lot</t>
        </is>
      </c>
      <c r="E23" s="11" t="n">
        <v>45</v>
      </c>
      <c r="F23" s="11">
        <f>C23*E23</f>
        <v/>
      </c>
      <c r="G23" s="9" t="b">
        <v>1</v>
      </c>
    </row>
    <row r="25">
      <c r="D25" s="3" t="inlineStr">
        <is>
          <t>SUBTOTAL</t>
        </is>
      </c>
      <c r="F25" s="12">
        <f>SUM(F17:F23)</f>
        <v/>
      </c>
    </row>
    <row r="26">
      <c r="B26" s="13" t="inlineStr">
        <is>
          <t>look up your state rate</t>
        </is>
      </c>
      <c r="D26" s="3" t="inlineStr">
        <is>
          <t>TAX RATE</t>
        </is>
      </c>
      <c r="E26" s="14" t="n"/>
    </row>
    <row r="27">
      <c r="D27" s="3" t="inlineStr">
        <is>
          <t>TAX</t>
        </is>
      </c>
      <c r="F27" s="11">
        <f>IF(E26="","",ROUND(SUMPRODUCT(($G$17:$G$23=TRUE)*F17:F23)*E26,2))</f>
        <v/>
      </c>
    </row>
    <row r="28">
      <c r="D28" s="15" t="inlineStr">
        <is>
          <t>TOTAL DUE</t>
        </is>
      </c>
      <c r="F28" s="16">
        <f>F25+IF(ISNUMBER(F27),F27,0)</f>
        <v/>
      </c>
    </row>
    <row r="29">
      <c r="B29" s="13" t="inlineStr">
        <is>
          <t>enter if collected</t>
        </is>
      </c>
      <c r="D29" s="3" t="inlineStr">
        <is>
          <t>DEPOSIT RECEIVED</t>
        </is>
      </c>
      <c r="F29" s="11" t="n"/>
    </row>
    <row r="30">
      <c r="B30" s="13" t="inlineStr">
        <is>
          <t>enter if any</t>
        </is>
      </c>
      <c r="D30" s="3" t="inlineStr">
        <is>
          <t>AMOUNT PAID</t>
        </is>
      </c>
      <c r="F30" s="11" t="n"/>
    </row>
    <row r="31">
      <c r="D31" s="15" t="inlineStr">
        <is>
          <t>BALANCE DUE</t>
        </is>
      </c>
      <c r="F31" s="16">
        <f>F28-IF(ISNUMBER(F29),F29,0)-IF(ISNUMBER(F30),F30,0)</f>
        <v/>
      </c>
    </row>
    <row r="33" ht="30" customHeight="1">
      <c r="A33" s="3" t="inlineStr">
        <is>
          <t>PAYMENT TERMS:</t>
        </is>
      </c>
      <c r="B33" s="4" t="inlineStr">
        <is>
          <t>Payment due on completion — crews collect before leaving the site whenever possible. Commercial property accounts: Net 30.</t>
        </is>
      </c>
    </row>
    <row r="34">
      <c r="A34" s="3" t="inlineStr">
        <is>
          <t>NOTES:</t>
        </is>
      </c>
      <c r="B34" s="4" t="inlineStr">
        <is>
          <t>Thank you for your business. Sealcoat needs 24–48 hours to fully cure: keep vehicles off for at least 24 hours (48 in humid or cool weather) and sprinklers off for the first night. Rain within 6 hours of application may require a free touch-up — call us.</t>
        </is>
      </c>
    </row>
    <row r="35">
      <c r="A35" s="3" t="inlineStr">
        <is>
          <t>PAYMENT:</t>
        </is>
      </c>
      <c r="B35" s="4" t="inlineStr">
        <is>
          <t>Make checks payable to: ______</t>
        </is>
      </c>
    </row>
    <row r="36">
      <c r="B36" s="4" t="inlineStr">
        <is>
          <t>Card / Venmo / Zelle: ______</t>
        </is>
      </c>
    </row>
    <row r="37">
      <c r="B37" s="4" t="inlineStr">
        <is>
          <t>Pay online: ______</t>
        </is>
      </c>
    </row>
    <row r="39">
      <c r="A39" s="17" t="inlineStr">
        <is>
          <t>Template for informational purposes only; does not constitute legal, tax, or accounting advice. Some states restrict coal-tar sealants — verify product rules and tax treatment with your state environmental agency, contractor board, and CPA/attorney.</t>
        </is>
      </c>
    </row>
    <row r="40"/>
    <row r="41"/>
  </sheetData>
  <mergeCells count="2">
    <mergeCell ref="A39:F41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2026-10-31T11:02:26Z</dcterms:created>
  <dcterms:modified xmlns:dcterms="http://purl.org/dc/terms/" xmlns:xsi="http://www.w3.org/2001/XMLSchema-instance" xsi:type="dcterms:W3CDTF">2026-10-31T11:02:26Z</dcterms:modified>
</cp:coreProperties>
</file>