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METAL FABRICATION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30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Fabrication Shop Hours — Cut, Fit, Weld, Grind (per hour)</t>
        </is>
      </c>
      <c r="C17" s="10" t="n">
        <v>14</v>
      </c>
      <c r="D17" s="9" t="inlineStr">
        <is>
          <t>hr</t>
        </is>
      </c>
      <c r="E17" s="11" t="n">
        <v>85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CAD Design &amp; Drafting — Layout, Nesting, Drawings (per hour)</t>
        </is>
      </c>
      <c r="C18" s="10" t="n">
        <v>2</v>
      </c>
      <c r="D18" s="9" t="inlineStr">
        <is>
          <t>hr</t>
        </is>
      </c>
      <c r="E18" s="11" t="n">
        <v>95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Steel Stock — Plate, Tube &amp; Angle (cost + 25% handling)</t>
        </is>
      </c>
      <c r="C19" s="10" t="n">
        <v>1</v>
      </c>
      <c r="D19" s="9" t="inlineStr">
        <is>
          <t>lot</t>
        </is>
      </c>
      <c r="E19" s="11" t="n">
        <v>480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CNC Plasma / Laser Cutting (per part)</t>
        </is>
      </c>
      <c r="C20" s="10" t="n">
        <v>12</v>
      </c>
      <c r="D20" s="9" t="inlineStr">
        <is>
          <t>each</t>
        </is>
      </c>
      <c r="E20" s="11" t="n">
        <v>6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Press-Brake Bends &amp; Forming (per bend)</t>
        </is>
      </c>
      <c r="C21" s="10" t="n">
        <v>8</v>
      </c>
      <c r="D21" s="9" t="inlineStr">
        <is>
          <t>each</t>
        </is>
      </c>
      <c r="E21" s="11" t="n">
        <v>9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Drilling, Tapping &amp; Machined Features (per hole / feature)</t>
        </is>
      </c>
      <c r="C22" s="10" t="n">
        <v>24</v>
      </c>
      <c r="D22" s="9" t="inlineStr">
        <is>
          <t>each</t>
        </is>
      </c>
      <c r="E22" s="11" t="n">
        <v>3.5</v>
      </c>
      <c r="F22" s="11">
        <f>C22*E22</f>
        <v/>
      </c>
      <c r="G22" s="9" t="b">
        <v>1</v>
      </c>
    </row>
    <row r="23" ht="18" customHeight="1">
      <c r="A23" s="9" t="n">
        <v>7</v>
      </c>
      <c r="B23" s="4" t="inlineStr">
        <is>
          <t>Deburr, Grinding &amp; Paint-Ready Finish (per hour)</t>
        </is>
      </c>
      <c r="C23" s="10" t="n">
        <v>1.5</v>
      </c>
      <c r="D23" s="9" t="inlineStr">
        <is>
          <t>hr</t>
        </is>
      </c>
      <c r="E23" s="11" t="n">
        <v>65</v>
      </c>
      <c r="F23" s="11">
        <f>C23*E23</f>
        <v/>
      </c>
      <c r="G23" s="9" t="b">
        <v>1</v>
      </c>
    </row>
    <row r="24" ht="18" customHeight="1">
      <c r="A24" s="9" t="n">
        <v>8</v>
      </c>
      <c r="B24" s="4" t="inlineStr">
        <is>
          <t>Delivery / Site Unloading</t>
        </is>
      </c>
      <c r="C24" s="10" t="n">
        <v>1</v>
      </c>
      <c r="D24" s="9" t="inlineStr">
        <is>
          <t>lot</t>
        </is>
      </c>
      <c r="E24" s="11" t="n">
        <v>90</v>
      </c>
      <c r="F24" s="11">
        <f>C24*E24</f>
        <v/>
      </c>
      <c r="G24" s="9" t="b">
        <v>1</v>
      </c>
    </row>
    <row r="26">
      <c r="D26" s="3" t="inlineStr">
        <is>
          <t>SUBTOTAL</t>
        </is>
      </c>
      <c r="F26" s="12">
        <f>SUM(F17:F24)</f>
        <v/>
      </c>
    </row>
    <row r="27">
      <c r="B27" s="13" t="inlineStr">
        <is>
          <t>look up your state rate</t>
        </is>
      </c>
      <c r="D27" s="3" t="inlineStr">
        <is>
          <t>TAX RATE</t>
        </is>
      </c>
      <c r="E27" s="14" t="n"/>
    </row>
    <row r="28">
      <c r="D28" s="3" t="inlineStr">
        <is>
          <t>TAX</t>
        </is>
      </c>
      <c r="F28" s="11">
        <f>IF(E27="","",ROUND(SUMPRODUCT(($G$17:$G$24=TRUE)*F17:F24)*E27,2))</f>
        <v/>
      </c>
    </row>
    <row r="29">
      <c r="D29" s="15" t="inlineStr">
        <is>
          <t>TOTAL DUE</t>
        </is>
      </c>
      <c r="F29" s="16">
        <f>F26+IF(ISNUMBER(F28),F28,0)</f>
        <v/>
      </c>
    </row>
    <row r="30">
      <c r="B30" s="13" t="inlineStr">
        <is>
          <t>enter if collected</t>
        </is>
      </c>
      <c r="D30" s="3" t="inlineStr">
        <is>
          <t>DEPOSIT RECEIVED</t>
        </is>
      </c>
      <c r="F30" s="11" t="n"/>
    </row>
    <row r="31">
      <c r="B31" s="13" t="inlineStr">
        <is>
          <t>enter if any</t>
        </is>
      </c>
      <c r="D31" s="3" t="inlineStr">
        <is>
          <t>AMOUNT PAID</t>
        </is>
      </c>
      <c r="F31" s="11" t="n"/>
    </row>
    <row r="32">
      <c r="D32" s="15" t="inlineStr">
        <is>
          <t>BALANCE DUE</t>
        </is>
      </c>
      <c r="F32" s="16">
        <f>F29-IF(ISNUMBER(F30),F30,0)-IF(ISNUMBER(F31),F31,0)</f>
        <v/>
      </c>
    </row>
    <row r="34" ht="30" customHeight="1">
      <c r="A34" s="3" t="inlineStr">
        <is>
          <t>PAYMENT TERMS:</t>
        </is>
      </c>
      <c r="B34" s="4" t="inlineStr">
        <is>
          <t>50% deposit before material purchase; balance due on pickup or delivery. Repeat commercial accounts: Net 30 with approved credit.</t>
        </is>
      </c>
    </row>
    <row r="35">
      <c r="A35" s="3" t="inlineStr">
        <is>
          <t>NOTES:</t>
        </is>
      </c>
      <c r="B35" s="4" t="inlineStr">
        <is>
          <t>Thank you for your business. Dimensions, material grade, and tolerances per approved drawing. Tolerances ±1/16 in. unless noted. Repeat runs skip design fees — ask about second-run pricing.</t>
        </is>
      </c>
    </row>
    <row r="36">
      <c r="A36" s="3" t="inlineStr">
        <is>
          <t>PAYMENT:</t>
        </is>
      </c>
      <c r="B36" s="4" t="inlineStr">
        <is>
          <t>Make checks payable to: ______</t>
        </is>
      </c>
    </row>
    <row r="37">
      <c r="B37" s="4" t="inlineStr">
        <is>
          <t>Card / Venmo / Zelle: ______</t>
        </is>
      </c>
    </row>
    <row r="38">
      <c r="B38" s="4" t="inlineStr">
        <is>
          <t>Pay online: ______</t>
        </is>
      </c>
    </row>
    <row r="40">
      <c r="A40" s="17" t="inlineStr">
        <is>
          <t>Template for informational purposes only; does not constitute legal, tax, or accounting advice. Requirements vary by state — verify with your contractor board and CPA/attorney before use.</t>
        </is>
      </c>
    </row>
    <row r="41"/>
    <row r="42"/>
  </sheetData>
  <mergeCells count="2">
    <mergeCell ref="A40:F42"/>
    <mergeCell ref="A1:F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2026-10-29T13:27:41Z</dcterms:created>
  <dcterms:modified xmlns:dcterms="http://purl.org/dc/terms/" xmlns:xsi="http://www.w3.org/2001/XMLSchema-instance" xsi:type="dcterms:W3CDTF">2026-10-29T13:27:41Z</dcterms:modified>
</cp:coreProperties>
</file>